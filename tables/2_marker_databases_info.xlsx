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iit-my.sharepoint.com/personal/g_semeraro1_studenti_unipi_it/Documents/UniPi/Tesi/PRIMERS/"/>
    </mc:Choice>
  </mc:AlternateContent>
  <xr:revisionPtr revIDLastSave="164" documentId="8_{71DDA9E9-1210-46FF-B5FC-FA071B7947E6}" xr6:coauthVersionLast="47" xr6:coauthVersionMax="47" xr10:uidLastSave="{0C63F7E8-D400-4056-84F3-66E4203D8EF3}"/>
  <bookViews>
    <workbookView xWindow="10103" yWindow="0" windowWidth="9180" windowHeight="11363" xr2:uid="{3FD02507-CB2C-454D-846F-97615CE8E8F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D10" i="1"/>
  <c r="E10" i="1"/>
  <c r="F10" i="1"/>
  <c r="G10" i="1"/>
  <c r="H10" i="1"/>
  <c r="I10" i="1"/>
  <c r="J10" i="1"/>
  <c r="K10" i="1"/>
  <c r="B10" i="1"/>
</calcChain>
</file>

<file path=xl/sharedStrings.xml><?xml version="1.0" encoding="utf-8"?>
<sst xmlns="http://schemas.openxmlformats.org/spreadsheetml/2006/main" count="18" uniqueCount="18">
  <si>
    <t>KEGG NT</t>
  </si>
  <si>
    <t>KEGG AA</t>
  </si>
  <si>
    <t>Uniprot NT</t>
  </si>
  <si>
    <t>Uniprot AA</t>
  </si>
  <si>
    <t>pCDS NT</t>
  </si>
  <si>
    <t>pCDS AA</t>
  </si>
  <si>
    <t>Markers</t>
  </si>
  <si>
    <t xml:space="preserve">LINB_3.8.1.5_K01563 </t>
  </si>
  <si>
    <t>TCBQ_1.1.1.404_K21607</t>
  </si>
  <si>
    <t>CMEBL_3.1.1.45_K01061</t>
  </si>
  <si>
    <t>L_DEX_3.8.1.2_K01560</t>
  </si>
  <si>
    <t>CATE_1.13.11.2_K07104</t>
  </si>
  <si>
    <t>KEGG fCDS NT</t>
  </si>
  <si>
    <t>KEGG fCDS AA</t>
  </si>
  <si>
    <t>UniProt fCDS NT</t>
  </si>
  <si>
    <t>UniProt fCDS AA</t>
  </si>
  <si>
    <t xml:space="preserve">Average sequence count </t>
  </si>
  <si>
    <t>CATE_1.13.11.2_K00446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</si>
</sst>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1" xfId="0" applyFont="1" applyBorder="1"/>
    <xf numFmtId="1" fontId="0" fillId="0" borderId="1" xfId="0" applyNumberFormat="1" applyBorder="1"/>
  </cellXfs>
  <cellStyles count="1">
    <cellStyle name="Normale" xfId="0" builtinId="0"/>
  </cellStyles>
  <dxfs count="1">
    <dxf>
      <font>
        <b/>
      </font>
    </dxf>
  </dxfs>
  <tableStyles count="0" defaultTableStyle="TableStyleMedium2" defaultPivotStyle="PivotStyleLight16"/>
  <colors>
    <mruColors>
      <color rgb="FFEA1600"/>
      <color rgb="FFFFD6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90F034-0566-4EF6-8271-FADB3A639AE6}" name="Tabella1" displayName="Tabella1" ref="A2:K10" totalsRowShown="0" headerRowDxfId="0">
  <autoFilter ref="A2:K10" xr:uid="{B890F034-0566-4EF6-8271-FADB3A639A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A856063-E701-4366-AE48-59752BE42291}" name="Markers"/>
    <tableColumn id="2" xr3:uid="{16ADD01A-3250-430D-B150-D1518C67A87C}" name="KEGG NT"/>
    <tableColumn id="3" xr3:uid="{47C081DB-9821-4FBA-86FE-CC3B46C3E1FC}" name="KEGG AA"/>
    <tableColumn id="4" xr3:uid="{7A76D153-FF65-4F88-A2DD-732BB2F71FA3}" name="Uniprot NT"/>
    <tableColumn id="5" xr3:uid="{E893EA24-06F1-49EC-8399-4A5AD09220E5}" name="Uniprot AA"/>
    <tableColumn id="6" xr3:uid="{A934E44B-2716-4913-81ED-BBD2D22C2478}" name="pCDS NT"/>
    <tableColumn id="7" xr3:uid="{C643FD39-2FB5-4D56-BCA9-EEB454BC4E5B}" name="pCDS AA"/>
    <tableColumn id="8" xr3:uid="{9213A3DD-2FCC-4685-813B-069D56E90EBF}" name="KEGG fCDS NT"/>
    <tableColumn id="9" xr3:uid="{65F91258-CA2E-4CD2-8607-A4AD0F566340}" name="KEGG fCDS AA"/>
    <tableColumn id="10" xr3:uid="{319F3A7B-2077-4AA6-A029-EEE95490431C}" name="UniProt fCDS NT"/>
    <tableColumn id="11" xr3:uid="{7BE37B07-578B-4E45-A0A6-579687BE695F}" name="UniProt fCDS A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C4C3-3B4D-4FE4-9FC4-488BFFF300E0}">
  <dimension ref="A2:K10"/>
  <sheetViews>
    <sheetView tabSelected="1" zoomScale="55" zoomScaleNormal="55" workbookViewId="0">
      <selection activeCell="J3" sqref="J3"/>
    </sheetView>
  </sheetViews>
  <sheetFormatPr defaultRowHeight="14.25" x14ac:dyDescent="0.45"/>
  <cols>
    <col min="1" max="1" width="20.59765625" bestFit="1" customWidth="1"/>
    <col min="2" max="2" width="9.59765625" customWidth="1"/>
    <col min="3" max="3" width="9.6640625" customWidth="1"/>
    <col min="4" max="4" width="10.9296875" customWidth="1"/>
    <col min="5" max="5" width="11" customWidth="1"/>
    <col min="6" max="6" width="9.59765625" customWidth="1"/>
    <col min="7" max="7" width="9.6640625" customWidth="1"/>
    <col min="8" max="8" width="14.06640625" customWidth="1"/>
    <col min="9" max="9" width="14.19921875" customWidth="1"/>
    <col min="10" max="10" width="15.53125" customWidth="1"/>
    <col min="11" max="11" width="15.6640625" customWidth="1"/>
  </cols>
  <sheetData>
    <row r="2" spans="1:11" x14ac:dyDescent="0.45">
      <c r="A2" s="2" t="s">
        <v>6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12</v>
      </c>
      <c r="I2" s="2" t="s">
        <v>13</v>
      </c>
      <c r="J2" s="2" t="s">
        <v>14</v>
      </c>
      <c r="K2" s="2" t="s">
        <v>15</v>
      </c>
    </row>
    <row r="3" spans="1:11" x14ac:dyDescent="0.45">
      <c r="A3" s="1" t="s">
        <v>7</v>
      </c>
      <c r="B3" s="1">
        <v>1358</v>
      </c>
      <c r="C3" s="1">
        <v>1359</v>
      </c>
      <c r="D3" s="1">
        <v>61</v>
      </c>
      <c r="E3" s="1">
        <v>48</v>
      </c>
      <c r="F3" s="1">
        <v>21</v>
      </c>
      <c r="G3" s="1">
        <v>21</v>
      </c>
      <c r="H3" s="1">
        <v>17</v>
      </c>
      <c r="I3" s="1">
        <v>16</v>
      </c>
      <c r="J3" s="1">
        <v>10</v>
      </c>
      <c r="K3" s="1">
        <v>18</v>
      </c>
    </row>
    <row r="4" spans="1:11" x14ac:dyDescent="0.45">
      <c r="A4" s="1" t="s">
        <v>8</v>
      </c>
      <c r="B4" s="1">
        <v>260</v>
      </c>
      <c r="C4" s="1">
        <v>260</v>
      </c>
      <c r="D4" s="1">
        <v>13</v>
      </c>
      <c r="E4" s="1">
        <v>12</v>
      </c>
      <c r="F4" s="1">
        <v>27</v>
      </c>
      <c r="G4" s="1">
        <v>27</v>
      </c>
      <c r="H4" s="1">
        <v>19</v>
      </c>
      <c r="I4" s="1">
        <v>19</v>
      </c>
      <c r="J4" s="1">
        <v>8</v>
      </c>
      <c r="K4" s="1">
        <v>5</v>
      </c>
    </row>
    <row r="5" spans="1:11" x14ac:dyDescent="0.45">
      <c r="A5" s="1" t="s">
        <v>9</v>
      </c>
      <c r="B5" s="1">
        <v>7279</v>
      </c>
      <c r="C5" s="1">
        <v>7487</v>
      </c>
      <c r="D5" s="1">
        <v>24</v>
      </c>
      <c r="E5" s="1">
        <v>13</v>
      </c>
      <c r="F5" s="1">
        <v>1</v>
      </c>
      <c r="G5" s="1">
        <v>1</v>
      </c>
      <c r="H5" s="1">
        <v>1</v>
      </c>
      <c r="I5" s="1">
        <v>1</v>
      </c>
      <c r="J5" s="1">
        <v>0</v>
      </c>
      <c r="K5" s="1">
        <v>0</v>
      </c>
    </row>
    <row r="6" spans="1:11" x14ac:dyDescent="0.45">
      <c r="A6" s="1" t="s">
        <v>10</v>
      </c>
      <c r="B6" s="1">
        <v>4281</v>
      </c>
      <c r="C6" s="1">
        <v>4281</v>
      </c>
      <c r="D6" s="1">
        <v>9</v>
      </c>
      <c r="E6" s="1">
        <v>11</v>
      </c>
      <c r="F6" s="1">
        <v>6</v>
      </c>
      <c r="G6" s="1">
        <v>6</v>
      </c>
      <c r="H6" s="1">
        <v>3</v>
      </c>
      <c r="I6" s="1">
        <v>3</v>
      </c>
      <c r="J6" s="1">
        <v>0</v>
      </c>
      <c r="K6" s="1">
        <v>0</v>
      </c>
    </row>
    <row r="7" spans="1:11" x14ac:dyDescent="0.45">
      <c r="A7" s="1" t="s">
        <v>11</v>
      </c>
      <c r="B7" s="1">
        <v>2285</v>
      </c>
      <c r="C7" s="1">
        <v>2285</v>
      </c>
      <c r="D7" s="1">
        <v>14</v>
      </c>
      <c r="E7" s="1">
        <v>9</v>
      </c>
      <c r="F7" s="1">
        <v>1</v>
      </c>
      <c r="G7" s="1">
        <v>1</v>
      </c>
      <c r="H7" s="1">
        <v>1</v>
      </c>
      <c r="I7" s="1">
        <v>1</v>
      </c>
      <c r="J7" s="1">
        <v>0</v>
      </c>
      <c r="K7" s="1">
        <v>0</v>
      </c>
    </row>
    <row r="8" spans="1:11" x14ac:dyDescent="0.45">
      <c r="A8" s="1" t="s">
        <v>17</v>
      </c>
      <c r="B8" s="1">
        <v>434</v>
      </c>
      <c r="C8" s="1">
        <v>435</v>
      </c>
      <c r="D8" s="1">
        <v>14</v>
      </c>
      <c r="E8" s="1">
        <v>9</v>
      </c>
      <c r="F8" s="1">
        <v>1</v>
      </c>
      <c r="G8" s="1">
        <v>1</v>
      </c>
      <c r="H8" s="1">
        <v>1</v>
      </c>
      <c r="I8" s="1">
        <v>1</v>
      </c>
      <c r="J8" s="1">
        <v>0</v>
      </c>
      <c r="K8" s="1">
        <v>0</v>
      </c>
    </row>
    <row r="10" spans="1:11" x14ac:dyDescent="0.45">
      <c r="A10" s="1" t="s">
        <v>16</v>
      </c>
      <c r="B10" s="3">
        <f t="shared" ref="B10:K10" si="0">(B3+B4+B5+B6+B7+B8)/6</f>
        <v>2649.5</v>
      </c>
      <c r="C10" s="3">
        <f t="shared" si="0"/>
        <v>2684.5</v>
      </c>
      <c r="D10" s="3">
        <f t="shared" si="0"/>
        <v>22.5</v>
      </c>
      <c r="E10" s="3">
        <f t="shared" si="0"/>
        <v>17</v>
      </c>
      <c r="F10" s="3">
        <f t="shared" si="0"/>
        <v>9.5</v>
      </c>
      <c r="G10" s="3">
        <f t="shared" si="0"/>
        <v>9.5</v>
      </c>
      <c r="H10" s="3">
        <f t="shared" si="0"/>
        <v>7</v>
      </c>
      <c r="I10" s="3">
        <f t="shared" si="0"/>
        <v>6.833333333333333</v>
      </c>
      <c r="J10" s="3">
        <f t="shared" si="0"/>
        <v>3</v>
      </c>
      <c r="K10" s="3">
        <f t="shared" si="0"/>
        <v>3.8333333333333335</v>
      </c>
    </row>
  </sheetData>
  <phoneticPr fontId="1" type="noConversion"/>
  <conditionalFormatting sqref="B3:B8">
    <cfRule type="colorScale" priority="1">
      <colorScale>
        <cfvo type="min"/>
        <cfvo type="max"/>
        <color theme="0"/>
        <color rgb="FFEA1600"/>
      </colorScale>
    </cfRule>
  </conditionalFormatting>
  <conditionalFormatting sqref="B10:K10">
    <cfRule type="colorScale" priority="10">
      <colorScale>
        <cfvo type="min"/>
        <cfvo type="max"/>
        <color theme="0"/>
        <color rgb="FFEA1600"/>
      </colorScale>
    </cfRule>
  </conditionalFormatting>
  <conditionalFormatting sqref="C3:C8">
    <cfRule type="colorScale" priority="2">
      <colorScale>
        <cfvo type="min"/>
        <cfvo type="max"/>
        <color theme="0"/>
        <color rgb="FFEA1600"/>
      </colorScale>
    </cfRule>
  </conditionalFormatting>
  <conditionalFormatting sqref="D3:D8">
    <cfRule type="colorScale" priority="3">
      <colorScale>
        <cfvo type="min"/>
        <cfvo type="max"/>
        <color theme="0"/>
        <color rgb="FFEA1600"/>
      </colorScale>
    </cfRule>
  </conditionalFormatting>
  <conditionalFormatting sqref="E3:E8">
    <cfRule type="colorScale" priority="4">
      <colorScale>
        <cfvo type="min"/>
        <cfvo type="max"/>
        <color theme="0"/>
        <color rgb="FFEA1600"/>
      </colorScale>
    </cfRule>
  </conditionalFormatting>
  <conditionalFormatting sqref="F3:F8">
    <cfRule type="colorScale" priority="5">
      <colorScale>
        <cfvo type="min"/>
        <cfvo type="max"/>
        <color theme="0"/>
        <color rgb="FFEA1600"/>
      </colorScale>
    </cfRule>
  </conditionalFormatting>
  <conditionalFormatting sqref="G3:G8">
    <cfRule type="colorScale" priority="6">
      <colorScale>
        <cfvo type="min"/>
        <cfvo type="max"/>
        <color theme="0"/>
        <color rgb="FFEA1600"/>
      </colorScale>
    </cfRule>
  </conditionalFormatting>
  <conditionalFormatting sqref="H3:H8">
    <cfRule type="colorScale" priority="7">
      <colorScale>
        <cfvo type="min"/>
        <cfvo type="max"/>
        <color theme="0"/>
        <color rgb="FFEA1600"/>
      </colorScale>
    </cfRule>
  </conditionalFormatting>
  <conditionalFormatting sqref="I2">
    <cfRule type="colorScale" priority="13">
      <colorScale>
        <cfvo type="min"/>
        <cfvo type="max"/>
        <color theme="0"/>
        <color rgb="FFEA1600"/>
      </colorScale>
    </cfRule>
  </conditionalFormatting>
  <conditionalFormatting sqref="I3:I8">
    <cfRule type="colorScale" priority="8">
      <colorScale>
        <cfvo type="min"/>
        <cfvo type="max"/>
        <color theme="0"/>
        <color rgb="FFEA1600"/>
      </colorScale>
    </cfRule>
  </conditionalFormatting>
  <conditionalFormatting sqref="J3:J8">
    <cfRule type="colorScale" priority="9">
      <colorScale>
        <cfvo type="min"/>
        <cfvo type="max"/>
        <color theme="0"/>
        <color rgb="FFEA1600"/>
      </colorScale>
    </cfRule>
  </conditionalFormatting>
  <conditionalFormatting sqref="K3:K9">
    <cfRule type="colorScale" priority="11">
      <colorScale>
        <cfvo type="min"/>
        <cfvo type="max"/>
        <color theme="0"/>
        <color rgb="FFEA1600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Giorgia Semeraro</dc:creator>
  <cp:lastModifiedBy>Giorgia Semeraro</cp:lastModifiedBy>
  <dcterms:created xsi:type="dcterms:W3CDTF">2026-04-08T15:05:51Z</dcterms:created>
  <dcterms:modified xsi:type="dcterms:W3CDTF">2026-04-17T17:36:55Z</dcterms:modified>
</cp:coreProperties>
</file>